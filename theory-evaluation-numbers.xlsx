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peedup" sheetId="2" state="visible" r:id="rId4"/>
    <sheet name="Dimensions &amp; lobes" sheetId="3" state="visible" r:id="rId5"/>
    <sheet name="Landauer" sheetId="4" state="visible" r:id="rId6"/>
    <sheet name="Planes vs octants" sheetId="5" state="visible" r:id="rId7"/>
    <sheet name="Experiments" sheetId="6" state="visible" r:id="rId8"/>
    <sheet name="Field energ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<sst xmlns="http://schemas.openxmlformats.org/spreadsheetml/2006/main" count="138" uniqueCount="130">
  <si>
    <t xml:space="preserve">Evaluation of the postulate: key numbers</t>
  </si>
  <si>
    <t xml:space="preserve">Summary of the numerical review. Green values link to the detail sheets.</t>
  </si>
  <si>
    <t xml:space="preserve">Item</t>
  </si>
  <si>
    <t xml:space="preserve">Verdict</t>
  </si>
  <si>
    <t xml:space="preserve">What the numbers show</t>
  </si>
  <si>
    <t xml:space="preserve">Key value</t>
  </si>
  <si>
    <t xml:space="preserve">Unit / meaning</t>
  </si>
  <si>
    <t xml:space="preserve">Sheet</t>
  </si>
  <si>
    <t xml:space="preserve">P = NP as an assumption</t>
  </si>
  <si>
    <t xml:space="preserve">Allowed (assumption, not proof)</t>
  </si>
  <si>
    <t xml:space="preserve">Cannot be refuted; but §1.2 assumes it and Ch. 6 "proves" it (circular)</t>
  </si>
  <si>
    <t xml:space="preserve">—</t>
  </si>
  <si>
    <t xml:space="preserve">Speed-up at N = 100 if postulate holds</t>
  </si>
  <si>
    <t xml:space="preserve">Computed</t>
  </si>
  <si>
    <t xml:space="preserve">2^100 vs C(100,2) = 4,950 operations</t>
  </si>
  <si>
    <t xml:space="preserve">speed-up factor</t>
  </si>
  <si>
    <t xml:space="preserve">Speedup</t>
  </si>
  <si>
    <t xml:space="preserve">Negative-dimension rule</t>
  </si>
  <si>
    <t xml:space="preserve">Checks out</t>
  </si>
  <si>
    <t xml:space="preserve">Rule is 1/(|N|+3); product with P is always 1</t>
  </si>
  <si>
    <t xml:space="preserve">product (always 1)</t>
  </si>
  <si>
    <t xml:space="preserve">Dimensions &amp; lobes</t>
  </si>
  <si>
    <t xml:space="preserve">Lobe and nodal-plane counts</t>
  </si>
  <si>
    <t xml:space="preserve">4/6/8 lobes; 2/3/4 planes</t>
  </si>
  <si>
    <t xml:space="preserve">lobes in the Octadic tier (|m_l| = 4 → 8)</t>
  </si>
  <si>
    <t xml:space="preserve">Energy to collapse 2^100 → 1</t>
  </si>
  <si>
    <t xml:space="preserve">Not the bottleneck</t>
  </si>
  <si>
    <t xml:space="preserve">Only 100 bits erased</t>
  </si>
  <si>
    <t xml:space="preserve">J to erase 100 bits</t>
  </si>
  <si>
    <t xml:space="preserve">Landauer</t>
  </si>
  <si>
    <t xml:space="preserve">Eq. 9 weight at N = 100</t>
  </si>
  <si>
    <t xml:space="preserve">Contradicts Thm 6.1 step 4</t>
  </si>
  <si>
    <t xml:space="preserve">Built-in dissipation factor 2^−N</t>
  </si>
  <si>
    <t xml:space="preserve">amplitude factor</t>
  </si>
  <si>
    <t xml:space="preserve">Rotation planes encode only pairwise terms</t>
  </si>
  <si>
    <t xml:space="preserve">Fails (reduces to Ising / max-cut)</t>
  </si>
  <si>
    <t xml:space="preserve">1,276 numbers vs 1.1×10¹⁵ at N = 50</t>
  </si>
  <si>
    <t xml:space="preserve">numbers for pairwise energy, N = 50</t>
  </si>
  <si>
    <t xml:space="preserve">Planes vs octants</t>
  </si>
  <si>
    <t xml:space="preserve">O(N²) greedy success at N = 16</t>
  </si>
  <si>
    <t xml:space="preserve">Fails</t>
  </si>
  <si>
    <t xml:space="preserve">Falls from 31% (N=8) to 7% (N=16)</t>
  </si>
  <si>
    <t xml:space="preserve">success rate</t>
  </si>
  <si>
    <t xml:space="preserve">Experiments</t>
  </si>
  <si>
    <t xml:space="preserve">E = mc² derivation (§4.2)</t>
  </si>
  <si>
    <t xml:space="preserve">Circular</t>
  </si>
  <si>
    <t xml:space="preserve">ρ_m defined as u/c²</t>
  </si>
  <si>
    <t xml:space="preserve">kg/m³ at 10⁶ V/m</t>
  </si>
  <si>
    <t xml:space="preserve">Field energy</t>
  </si>
  <si>
    <t xml:space="preserve">3-SAT scaling for N ≤ 60</t>
  </si>
  <si>
    <t xml:space="preserve">Inconclusive</t>
  </si>
  <si>
    <t xml:space="preserve">Exponential and power-law fits both fit</t>
  </si>
  <si>
    <t xml:space="preserve">fitted exponent k in N^k</t>
  </si>
  <si>
    <t xml:space="preserve">Speed-up if the postulate holds</t>
  </si>
  <si>
    <t xml:space="preserve">2^N brute-force octants vs C(N,2) rotation-plane checks (Thm 6.1, step 3)</t>
  </si>
  <si>
    <t xml:space="preserve">N (dimensions / variables)</t>
  </si>
  <si>
    <t xml:space="preserve">2^N (brute-force octants)</t>
  </si>
  <si>
    <t xml:space="preserve">C(N,2) (rotation planes)</t>
  </si>
  <si>
    <t xml:space="preserve">Speed-up (2^N / C(N,2))</t>
  </si>
  <si>
    <t xml:space="preserve">Assumptions: blue cells are inputs (edit N freely). Cost model taken from the dissertation: one operation per rotation plane, constant factor 1. This is the postulated cost, not a demonstrated algorithm.</t>
  </si>
  <si>
    <t xml:space="preserve">Arithmetic checks on §2.2 and §5.1</t>
  </si>
  <si>
    <t xml:space="preserve">Negative-dimension rule (inferred): anti-property = 1 / (|N| + 3) = 1 / P(|N|)</t>
  </si>
  <si>
    <t xml:space="preserve">N (signed)</t>
  </si>
  <si>
    <t xml:space="preserve">|N|</t>
  </si>
  <si>
    <t xml:space="preserve">Positive property P = 3 + |N|</t>
  </si>
  <si>
    <t xml:space="preserve">Anti-property 1/(|N|+3)</t>
  </si>
  <si>
    <t xml:space="preserve">Product P × anti-property</t>
  </si>
  <si>
    <t xml:space="preserve">Value given in dissertation</t>
  </si>
  <si>
    <t xml:space="preserve">1/4</t>
  </si>
  <si>
    <t xml:space="preserve">1/6</t>
  </si>
  <si>
    <t xml:space="preserve">1/8</t>
  </si>
  <si>
    <t xml:space="preserve">The rule 1/(|N|+3) reproduces all three given values (¼ = 0.25, ⅙ ≈ 0.1667, ⅛ = 0.125). The product is always 1, so every "crystallized constant" would equal 1. Saturation check: P at N = 5 is 3+5 = 8 (matches the dissertation).</t>
  </si>
  <si>
    <t xml:space="preserve">Lobe tiers (|m_l| gives 2|m_l| lobes and |m_l| nodal planes)</t>
  </si>
  <si>
    <t xml:space="preserve">Tier</t>
  </si>
  <si>
    <t xml:space="preserve">|m_l|</t>
  </si>
  <si>
    <t xml:space="preserve">Lobes = 2|m_l|</t>
  </si>
  <si>
    <t xml:space="preserve">Nodal planes = |m_l|</t>
  </si>
  <si>
    <t xml:space="preserve">Lobes given</t>
  </si>
  <si>
    <t xml:space="preserve">Planes given</t>
  </si>
  <si>
    <t xml:space="preserve">Delta (δ)</t>
  </si>
  <si>
    <t xml:space="preserve">Phi (φ)</t>
  </si>
  <si>
    <t xml:space="preserve">Octadic (O₈)</t>
  </si>
  <si>
    <t xml:space="preserve">Both columns match the dissertation. Note: the standard name for |m_l| = 4 is γ; "octadic" is non-standard.</t>
  </si>
  <si>
    <t xml:space="preserve">Landauer cost of collapse and the Eq. 9 weight</t>
  </si>
  <si>
    <t xml:space="preserve">Boltzmann constant k_B (J/K)</t>
  </si>
  <si>
    <t xml:space="preserve">CODATA 2019 exact value</t>
  </si>
  <si>
    <t xml:space="preserve">Temperature T (K)</t>
  </si>
  <si>
    <t xml:space="preserve">Assumed room temperature (my choice, as in the analysis)</t>
  </si>
  <si>
    <t xml:space="preserve">ln 2</t>
  </si>
  <si>
    <t xml:space="preserve">k_B·T·ln 2 (J per erased bit)</t>
  </si>
  <si>
    <t xml:space="preserve">Bits erased N (2^N → 1)</t>
  </si>
  <si>
    <t xml:space="preserve">Candidates 2^N</t>
  </si>
  <si>
    <t xml:space="preserve">Energy to erase N bits (J)</t>
  </si>
  <si>
    <t xml:space="preserve">ΔE / k_B T = N·ln 2</t>
  </si>
  <si>
    <t xml:space="preserve">Eq. 9 weight exp(−ΔE/k_B T) = 2^−N</t>
  </si>
  <si>
    <t xml:space="preserve">Reading: collapsing 2^100 candidates to one erases only 100 bits (~3×10⁻¹⁹ J), so Landauer energy is not the obstacle. But Eq. 9 multiplies the reversed state by 2^−N (7.9×10⁻³¹ at N = 100), i.e. built-in dissipation, which contradicts Thm 6.1 step 4 ("no dissipation, lag ≡ 1").</t>
  </si>
  <si>
    <t xml:space="preserve">Parameter counts: octants vs rotation planes</t>
  </si>
  <si>
    <t xml:space="preserve">A pairwise (Ising-type) energy has 1 + N + C(N,2) numbers; a general function on {±1}^N needs 2^N</t>
  </si>
  <si>
    <t xml:space="preserve">N</t>
  </si>
  <si>
    <t xml:space="preserve">General function: 2^N numbers</t>
  </si>
  <si>
    <t xml:space="preserve">Pairwise energy: 1 + N + C(N,2)</t>
  </si>
  <si>
    <t xml:space="preserve">Ratio</t>
  </si>
  <si>
    <t xml:space="preserve">Key point: if the energy over the octants is encoded by rotation planes (O(N²) numbers), then finding its minimum over {±1}^N is the Ising ground-state / max-cut problem, which is NP-hard. Reading O(N²) numbers does not make the minimization easy.</t>
  </si>
  <si>
    <t xml:space="preserve">Numerical experiments (results of a Python run; values below are recorded data)</t>
  </si>
  <si>
    <t xml:space="preserve">A. O(N²) sequential greedy vs true Ising minimum (brute force over 2^N states)</t>
  </si>
  <si>
    <t xml:space="preserve">Random instances</t>
  </si>
  <si>
    <t xml:space="preserve">Greedy hit true minimum</t>
  </si>
  <si>
    <t xml:space="preserve">Success rate</t>
  </si>
  <si>
    <t xml:space="preserve">Setup: couplings J_ij ~ Normal(0,1), symmetric; greedy sets each spin from the sign of its coupling to earlier spins (O(N²)); numpy seed 0.</t>
  </si>
  <si>
    <t xml:space="preserve">B. DPLL search nodes, random 3-SAT, clauses = round(4.26·N), median of 15 instances</t>
  </si>
  <si>
    <t xml:space="preserve">Median nodes</t>
  </si>
  <si>
    <t xml:space="preserve">ln(nodes)</t>
  </si>
  <si>
    <t xml:space="preserve">ln(N)</t>
  </si>
  <si>
    <t xml:space="preserve">N²</t>
  </si>
  <si>
    <t xml:space="preserve">C(N,2)</t>
  </si>
  <si>
    <t xml:space="preserve">Exponential fit: nodes ≈ e^(slope·N), slope =</t>
  </si>
  <si>
    <t xml:space="preserve">Growth factor per +10 variables</t>
  </si>
  <si>
    <t xml:space="preserve">Power-law fit: nodes ≈ N^k, k =</t>
  </si>
  <si>
    <t xml:space="preserve">Inconclusive: at N ≤ 60 an exponential (~2× per +10 variables) and a power law (~N^2.6) fit about equally well. Hardness only appears at larger N, so this does not show P ≠ NP. Simple DPLL with unit propagation; Python random seed 1.</t>
  </si>
  <si>
    <t xml:space="preserve">§4.2 example: ρ_m = u / c²</t>
  </si>
  <si>
    <t xml:space="preserve">Consistent by definition, not an independent derivation of E = mc²</t>
  </si>
  <si>
    <t xml:space="preserve">ε₀ (F/m)</t>
  </si>
  <si>
    <t xml:space="preserve">CODATA value</t>
  </si>
  <si>
    <t xml:space="preserve">Electric field E (V/m)</t>
  </si>
  <si>
    <t xml:space="preserve">Illustrative input chosen for the analysis</t>
  </si>
  <si>
    <t xml:space="preserve">c (m/s)</t>
  </si>
  <si>
    <t xml:space="preserve">Exact (SI definition)</t>
  </si>
  <si>
    <t xml:space="preserve">Energy density u = ½ ε₀ E² (J/m³)</t>
  </si>
  <si>
    <t xml:space="preserve">Mass density ρ_m = u / c² (kg/m³)</t>
  </si>
  <si>
    <t xml:space="preserve">ρ_m is defined as u/c², so integrating it and recovering E = mc² is circular. The naive field-energy/c² also famously gives 4/3 of the true inertial mass of a charged sphere (the "4/3 problem"); a correct derivation uses Lorentz invariance of the total energy-momentum.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</si>
</sst>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E+00"/>
    <numFmt numFmtId="166" formatCode="0.00"/>
    <numFmt numFmtId="167" formatCode="0"/>
    <numFmt numFmtId="168" formatCode="#,##0"/>
    <numFmt numFmtId="169" formatCode="0%"/>
    <numFmt numFmtId="170" formatCode="0.0000"/>
    <numFmt numFmtId="171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82A36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3.75" hidden="false" customHeight="true" outlineLevel="0" collapsed="false">
      <c r="A5" s="4" t="s">
        <v>8</v>
      </c>
      <c r="B5" s="5" t="s">
        <v>9</v>
      </c>
      <c r="C5" s="5" t="s">
        <v>10</v>
      </c>
      <c r="D5" s="6" t="s">
        <v>11</v>
      </c>
      <c r="E5" s="6" t="s">
        <v>11</v>
      </c>
      <c r="F5" s="6" t="s">
        <v>11</v>
      </c>
    </row>
    <row r="6" customFormat="false" ht="33.75" hidden="false" customHeight="true" outlineLevel="0" collapsed="false">
      <c r="A6" s="4" t="s">
        <v>12</v>
      </c>
      <c r="B6" s="5" t="s">
        <v>13</v>
      </c>
      <c r="C6" s="5" t="s">
        <v>14</v>
      </c>
      <c r="D6" s="7" t="n">
        <f aca="false">Speedup!D9</f>
        <v>2.56091030349137E+026</v>
      </c>
      <c r="E6" s="6" t="s">
        <v>15</v>
      </c>
      <c r="F6" s="6" t="s">
        <v>16</v>
      </c>
    </row>
    <row r="7" customFormat="false" ht="33.75" hidden="false" customHeight="true" outlineLevel="0" collapsed="false">
      <c r="A7" s="4" t="s">
        <v>17</v>
      </c>
      <c r="B7" s="5" t="s">
        <v>18</v>
      </c>
      <c r="C7" s="5" t="s">
        <v>19</v>
      </c>
      <c r="D7" s="8" t="n">
        <f aca="false">'Dimensions &amp; lobes'!E5</f>
        <v>1</v>
      </c>
      <c r="E7" s="6" t="s">
        <v>20</v>
      </c>
      <c r="F7" s="6" t="s">
        <v>21</v>
      </c>
    </row>
    <row r="8" customFormat="false" ht="33.75" hidden="false" customHeight="true" outlineLevel="0" collapsed="false">
      <c r="A8" s="4" t="s">
        <v>22</v>
      </c>
      <c r="B8" s="5" t="s">
        <v>18</v>
      </c>
      <c r="C8" s="5" t="s">
        <v>23</v>
      </c>
      <c r="D8" s="9" t="n">
        <f aca="false">'Dimensions &amp; lobes'!C15</f>
        <v>8</v>
      </c>
      <c r="E8" s="6" t="s">
        <v>24</v>
      </c>
      <c r="F8" s="6" t="s">
        <v>21</v>
      </c>
    </row>
    <row r="9" customFormat="false" ht="33.75" hidden="false" customHeight="true" outlineLevel="0" collapsed="false">
      <c r="A9" s="4" t="s">
        <v>25</v>
      </c>
      <c r="B9" s="5" t="s">
        <v>26</v>
      </c>
      <c r="C9" s="5" t="s">
        <v>27</v>
      </c>
      <c r="D9" s="7" t="n">
        <f aca="false">Landauer!C12</f>
        <v>2.87097888507872E-019</v>
      </c>
      <c r="E9" s="6" t="s">
        <v>28</v>
      </c>
      <c r="F9" s="6" t="s">
        <v>29</v>
      </c>
    </row>
    <row r="10" customFormat="false" ht="33.75" hidden="false" customHeight="true" outlineLevel="0" collapsed="false">
      <c r="A10" s="4" t="s">
        <v>30</v>
      </c>
      <c r="B10" s="5" t="s">
        <v>31</v>
      </c>
      <c r="C10" s="5" t="s">
        <v>32</v>
      </c>
      <c r="D10" s="7" t="n">
        <f aca="false">Landauer!E12</f>
        <v>7.88860905221011E-031</v>
      </c>
      <c r="E10" s="6" t="s">
        <v>33</v>
      </c>
      <c r="F10" s="6" t="s">
        <v>29</v>
      </c>
    </row>
    <row r="11" customFormat="false" ht="33.75" hidden="false" customHeight="true" outlineLevel="0" collapsed="false">
      <c r="A11" s="4" t="s">
        <v>34</v>
      </c>
      <c r="B11" s="5" t="s">
        <v>35</v>
      </c>
      <c r="C11" s="5" t="s">
        <v>36</v>
      </c>
      <c r="D11" s="10" t="n">
        <f aca="false">'Planes vs octants'!C10</f>
        <v>5051</v>
      </c>
      <c r="E11" s="6" t="s">
        <v>37</v>
      </c>
      <c r="F11" s="6" t="s">
        <v>38</v>
      </c>
    </row>
    <row r="12" customFormat="false" ht="33.75" hidden="false" customHeight="true" outlineLevel="0" collapsed="false">
      <c r="A12" s="4" t="s">
        <v>39</v>
      </c>
      <c r="B12" s="5" t="s">
        <v>40</v>
      </c>
      <c r="C12" s="5" t="s">
        <v>41</v>
      </c>
      <c r="D12" s="11" t="n">
        <f aca="false">Experiments!D7</f>
        <v>0.0733333333333333</v>
      </c>
      <c r="E12" s="6" t="s">
        <v>42</v>
      </c>
      <c r="F12" s="6" t="s">
        <v>43</v>
      </c>
    </row>
    <row r="13" customFormat="false" ht="33.75" hidden="false" customHeight="true" outlineLevel="0" collapsed="false">
      <c r="A13" s="4" t="s">
        <v>44</v>
      </c>
      <c r="B13" s="5" t="s">
        <v>45</v>
      </c>
      <c r="C13" s="5" t="s">
        <v>46</v>
      </c>
      <c r="D13" s="7" t="n">
        <f aca="false">'Field energy'!B9</f>
        <v>4.92580628544716E-017</v>
      </c>
      <c r="E13" s="6" t="s">
        <v>47</v>
      </c>
      <c r="F13" s="6" t="s">
        <v>48</v>
      </c>
    </row>
    <row r="14" customFormat="false" ht="33.75" hidden="false" customHeight="true" outlineLevel="0" collapsed="false">
      <c r="A14" s="4" t="s">
        <v>49</v>
      </c>
      <c r="B14" s="5" t="s">
        <v>50</v>
      </c>
      <c r="C14" s="5" t="s">
        <v>51</v>
      </c>
      <c r="D14" s="8" t="n">
        <f aca="false">Experiments!D20</f>
        <v>2.54708959646033</v>
      </c>
      <c r="E14" s="6" t="s">
        <v>52</v>
      </c>
      <c r="F14" s="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24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31.5" hidden="false" customHeight="true" outlineLevel="0" collapsed="false">
      <c r="A4" s="3" t="s">
        <v>55</v>
      </c>
      <c r="B4" s="3" t="s">
        <v>56</v>
      </c>
      <c r="C4" s="3" t="s">
        <v>57</v>
      </c>
      <c r="D4" s="3" t="s">
        <v>58</v>
      </c>
    </row>
    <row r="5" customFormat="false" ht="15" hidden="false" customHeight="false" outlineLevel="0" collapsed="false">
      <c r="A5" s="12" t="n">
        <v>5</v>
      </c>
      <c r="B5" s="13" t="n">
        <f aca="false">2^A5</f>
        <v>32</v>
      </c>
      <c r="C5" s="14" t="n">
        <f aca="false">A5*(A5-1)/2</f>
        <v>10</v>
      </c>
      <c r="D5" s="13" t="n">
        <f aca="false">B5/C5</f>
        <v>3.2</v>
      </c>
    </row>
    <row r="6" customFormat="false" ht="15" hidden="false" customHeight="false" outlineLevel="0" collapsed="false">
      <c r="A6" s="12" t="n">
        <v>10</v>
      </c>
      <c r="B6" s="13" t="n">
        <f aca="false">2^A6</f>
        <v>1024</v>
      </c>
      <c r="C6" s="14" t="n">
        <f aca="false">A6*(A6-1)/2</f>
        <v>45</v>
      </c>
      <c r="D6" s="13" t="n">
        <f aca="false">B6/C6</f>
        <v>22.7555555555556</v>
      </c>
    </row>
    <row r="7" customFormat="false" ht="15" hidden="false" customHeight="false" outlineLevel="0" collapsed="false">
      <c r="A7" s="12" t="n">
        <v>20</v>
      </c>
      <c r="B7" s="13" t="n">
        <f aca="false">2^A7</f>
        <v>1048576</v>
      </c>
      <c r="C7" s="14" t="n">
        <f aca="false">A7*(A7-1)/2</f>
        <v>190</v>
      </c>
      <c r="D7" s="13" t="n">
        <f aca="false">B7/C7</f>
        <v>5518.82105263158</v>
      </c>
    </row>
    <row r="8" customFormat="false" ht="15" hidden="false" customHeight="false" outlineLevel="0" collapsed="false">
      <c r="A8" s="12" t="n">
        <v>50</v>
      </c>
      <c r="B8" s="13" t="n">
        <f aca="false">2^A8</f>
        <v>1125899906842624</v>
      </c>
      <c r="C8" s="14" t="n">
        <f aca="false">A8*(A8-1)/2</f>
        <v>1225</v>
      </c>
      <c r="D8" s="13" t="n">
        <f aca="false">B8/C8</f>
        <v>919101964769.489</v>
      </c>
    </row>
    <row r="9" customFormat="false" ht="15" hidden="false" customHeight="false" outlineLevel="0" collapsed="false">
      <c r="A9" s="12" t="n">
        <v>100</v>
      </c>
      <c r="B9" s="13" t="n">
        <f aca="false">2^A9</f>
        <v>1.26765060022823E+030</v>
      </c>
      <c r="C9" s="14" t="n">
        <f aca="false">A9*(A9-1)/2</f>
        <v>4950</v>
      </c>
      <c r="D9" s="13" t="n">
        <f aca="false">B9/C9</f>
        <v>2.56091030349137E+026</v>
      </c>
    </row>
    <row r="10" customFormat="false" ht="15" hidden="false" customHeight="false" outlineLevel="0" collapsed="false">
      <c r="A10" s="12" t="n">
        <v>300</v>
      </c>
      <c r="B10" s="13" t="n">
        <f aca="false">2^A10</f>
        <v>2.03703597633449E+090</v>
      </c>
      <c r="C10" s="14" t="n">
        <f aca="false">A10*(A10-1)/2</f>
        <v>44850</v>
      </c>
      <c r="D10" s="13" t="n">
        <f aca="false">B10/C10</f>
        <v>4.5418862348595E+085</v>
      </c>
    </row>
    <row r="12" customFormat="false" ht="15" hidden="false" customHeight="true" outlineLevel="0" collapsed="false">
      <c r="A12" s="15" t="s">
        <v>59</v>
      </c>
      <c r="B12" s="15"/>
      <c r="C12" s="15"/>
      <c r="D12" s="15"/>
    </row>
    <row r="13" customFormat="false" ht="15" hidden="false" customHeight="false" outlineLevel="0" collapsed="false">
      <c r="A13" s="15"/>
      <c r="B13" s="15"/>
      <c r="C13" s="15"/>
      <c r="D13" s="15"/>
    </row>
  </sheetData>
  <mergeCells count="1">
    <mergeCell ref="A12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24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60</v>
      </c>
    </row>
    <row r="3" customFormat="false" ht="15" hidden="false" customHeight="false" outlineLevel="0" collapsed="false">
      <c r="A3" s="16" t="s">
        <v>61</v>
      </c>
    </row>
    <row r="4" customFormat="false" ht="31.5" hidden="false" customHeight="true" outlineLevel="0" collapsed="false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</row>
    <row r="5" customFormat="false" ht="15" hidden="false" customHeight="false" outlineLevel="0" collapsed="false">
      <c r="A5" s="12" t="n">
        <v>-1</v>
      </c>
      <c r="B5" s="17" t="n">
        <f aca="false">ABS(A5)</f>
        <v>1</v>
      </c>
      <c r="C5" s="17" t="n">
        <f aca="false">3+B5</f>
        <v>4</v>
      </c>
      <c r="D5" s="18" t="n">
        <f aca="false">1/(B5+3)</f>
        <v>0.25</v>
      </c>
      <c r="E5" s="19" t="n">
        <f aca="false">C5*D5</f>
        <v>1</v>
      </c>
      <c r="F5" s="20" t="s">
        <v>68</v>
      </c>
    </row>
    <row r="6" customFormat="false" ht="15" hidden="false" customHeight="false" outlineLevel="0" collapsed="false">
      <c r="A6" s="12" t="n">
        <v>-3</v>
      </c>
      <c r="B6" s="17" t="n">
        <f aca="false">ABS(A6)</f>
        <v>3</v>
      </c>
      <c r="C6" s="17" t="n">
        <f aca="false">3+B6</f>
        <v>6</v>
      </c>
      <c r="D6" s="18" t="n">
        <f aca="false">1/(B6+3)</f>
        <v>0.166666666666667</v>
      </c>
      <c r="E6" s="19" t="n">
        <f aca="false">C6*D6</f>
        <v>1</v>
      </c>
      <c r="F6" s="20" t="s">
        <v>69</v>
      </c>
    </row>
    <row r="7" customFormat="false" ht="15" hidden="false" customHeight="false" outlineLevel="0" collapsed="false">
      <c r="A7" s="12" t="n">
        <v>-5</v>
      </c>
      <c r="B7" s="17" t="n">
        <f aca="false">ABS(A7)</f>
        <v>5</v>
      </c>
      <c r="C7" s="17" t="n">
        <f aca="false">3+B7</f>
        <v>8</v>
      </c>
      <c r="D7" s="18" t="n">
        <f aca="false">1/(B7+3)</f>
        <v>0.125</v>
      </c>
      <c r="E7" s="19" t="n">
        <f aca="false">C7*D7</f>
        <v>1</v>
      </c>
      <c r="F7" s="20" t="s">
        <v>70</v>
      </c>
    </row>
    <row r="8" customFormat="false" ht="15" hidden="false" customHeight="true" outlineLevel="0" collapsed="false">
      <c r="A8" s="15" t="s">
        <v>71</v>
      </c>
      <c r="B8" s="15"/>
      <c r="C8" s="15"/>
      <c r="D8" s="15"/>
      <c r="E8" s="15"/>
      <c r="F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</row>
    <row r="11" customFormat="false" ht="15" hidden="false" customHeight="false" outlineLevel="0" collapsed="false">
      <c r="A11" s="16" t="s">
        <v>72</v>
      </c>
    </row>
    <row r="12" customFormat="false" ht="31.5" hidden="false" customHeight="true" outlineLevel="0" collapsed="false">
      <c r="A12" s="3" t="s">
        <v>73</v>
      </c>
      <c r="B12" s="3" t="s">
        <v>74</v>
      </c>
      <c r="C12" s="3" t="s">
        <v>75</v>
      </c>
      <c r="D12" s="3" t="s">
        <v>76</v>
      </c>
      <c r="E12" s="3" t="s">
        <v>77</v>
      </c>
      <c r="F12" s="3" t="s">
        <v>78</v>
      </c>
    </row>
    <row r="13" customFormat="false" ht="15" hidden="false" customHeight="false" outlineLevel="0" collapsed="false">
      <c r="A13" s="6" t="s">
        <v>79</v>
      </c>
      <c r="B13" s="12" t="n">
        <v>2</v>
      </c>
      <c r="C13" s="17" t="n">
        <f aca="false">2*B13</f>
        <v>4</v>
      </c>
      <c r="D13" s="17" t="n">
        <f aca="false">B13</f>
        <v>2</v>
      </c>
      <c r="E13" s="12" t="n">
        <v>4</v>
      </c>
      <c r="F13" s="12" t="n">
        <v>2</v>
      </c>
    </row>
    <row r="14" customFormat="false" ht="15" hidden="false" customHeight="false" outlineLevel="0" collapsed="false">
      <c r="A14" s="6" t="s">
        <v>80</v>
      </c>
      <c r="B14" s="12" t="n">
        <v>3</v>
      </c>
      <c r="C14" s="17" t="n">
        <f aca="false">2*B14</f>
        <v>6</v>
      </c>
      <c r="D14" s="17" t="n">
        <f aca="false">B14</f>
        <v>3</v>
      </c>
      <c r="E14" s="12" t="n">
        <v>6</v>
      </c>
      <c r="F14" s="12" t="n">
        <v>3</v>
      </c>
    </row>
    <row r="15" customFormat="false" ht="15" hidden="false" customHeight="false" outlineLevel="0" collapsed="false">
      <c r="A15" s="6" t="s">
        <v>81</v>
      </c>
      <c r="B15" s="12" t="n">
        <v>4</v>
      </c>
      <c r="C15" s="17" t="n">
        <f aca="false">2*B15</f>
        <v>8</v>
      </c>
      <c r="D15" s="17" t="n">
        <f aca="false">B15</f>
        <v>4</v>
      </c>
      <c r="E15" s="12" t="n">
        <v>8</v>
      </c>
      <c r="F15" s="12" t="n">
        <v>4</v>
      </c>
    </row>
    <row r="17" customFormat="false" ht="15" hidden="false" customHeight="true" outlineLevel="0" collapsed="false">
      <c r="A17" s="15" t="s">
        <v>82</v>
      </c>
      <c r="B17" s="15"/>
      <c r="C17" s="15"/>
      <c r="D17" s="15"/>
      <c r="E17" s="15"/>
      <c r="F17" s="15"/>
    </row>
  </sheetData>
  <mergeCells count="2">
    <mergeCell ref="A8:F9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83</v>
      </c>
    </row>
    <row r="4" customFormat="false" ht="15" hidden="false" customHeight="false" outlineLevel="0" collapsed="false">
      <c r="A4" s="21" t="s">
        <v>84</v>
      </c>
      <c r="B4" s="22" t="n">
        <v>1.380649E-023</v>
      </c>
      <c r="C4" s="23" t="s">
        <v>85</v>
      </c>
    </row>
    <row r="5" customFormat="false" ht="23.85" hidden="false" customHeight="false" outlineLevel="0" collapsed="false">
      <c r="A5" s="21" t="s">
        <v>86</v>
      </c>
      <c r="B5" s="24" t="n">
        <v>300</v>
      </c>
      <c r="C5" s="23" t="s">
        <v>87</v>
      </c>
    </row>
    <row r="6" customFormat="false" ht="15" hidden="false" customHeight="false" outlineLevel="0" collapsed="false">
      <c r="A6" s="21" t="s">
        <v>88</v>
      </c>
      <c r="B6" s="18" t="n">
        <f aca="false">LN(2)</f>
        <v>0.693147180559945</v>
      </c>
    </row>
    <row r="7" customFormat="false" ht="15" hidden="false" customHeight="false" outlineLevel="0" collapsed="false">
      <c r="A7" s="21" t="s">
        <v>89</v>
      </c>
      <c r="B7" s="13" t="n">
        <f aca="false">B4*B5*B6</f>
        <v>2.87097888507872E-021</v>
      </c>
    </row>
    <row r="9" customFormat="false" ht="31.5" hidden="false" customHeight="true" outlineLevel="0" collapsed="false">
      <c r="A9" s="3" t="s">
        <v>90</v>
      </c>
      <c r="B9" s="3" t="s">
        <v>91</v>
      </c>
      <c r="C9" s="3" t="s">
        <v>92</v>
      </c>
      <c r="D9" s="3" t="s">
        <v>93</v>
      </c>
      <c r="E9" s="3" t="s">
        <v>94</v>
      </c>
    </row>
    <row r="10" customFormat="false" ht="15" hidden="false" customHeight="false" outlineLevel="0" collapsed="false">
      <c r="A10" s="12" t="n">
        <v>5</v>
      </c>
      <c r="B10" s="13" t="n">
        <f aca="false">2^A10</f>
        <v>32</v>
      </c>
      <c r="C10" s="13" t="n">
        <f aca="false">A10*$B$7</f>
        <v>1.43548944253936E-020</v>
      </c>
      <c r="D10" s="19" t="n">
        <f aca="false">A10*$B$6</f>
        <v>3.46573590279973</v>
      </c>
      <c r="E10" s="13" t="n">
        <f aca="false">EXP(-D10)</f>
        <v>0.03125</v>
      </c>
    </row>
    <row r="11" customFormat="false" ht="15" hidden="false" customHeight="false" outlineLevel="0" collapsed="false">
      <c r="A11" s="12" t="n">
        <v>50</v>
      </c>
      <c r="B11" s="13" t="n">
        <f aca="false">2^A11</f>
        <v>1125899906842624</v>
      </c>
      <c r="C11" s="13" t="n">
        <f aca="false">A11*$B$7</f>
        <v>1.43548944253936E-019</v>
      </c>
      <c r="D11" s="19" t="n">
        <f aca="false">A11*$B$6</f>
        <v>34.6573590279973</v>
      </c>
      <c r="E11" s="13" t="n">
        <f aca="false">EXP(-D11)</f>
        <v>8.88178419700124E-016</v>
      </c>
    </row>
    <row r="12" customFormat="false" ht="15" hidden="false" customHeight="false" outlineLevel="0" collapsed="false">
      <c r="A12" s="12" t="n">
        <v>100</v>
      </c>
      <c r="B12" s="13" t="n">
        <f aca="false">2^A12</f>
        <v>1.26765060022823E+030</v>
      </c>
      <c r="C12" s="13" t="n">
        <f aca="false">A12*$B$7</f>
        <v>2.87097888507872E-019</v>
      </c>
      <c r="D12" s="19" t="n">
        <f aca="false">A12*$B$6</f>
        <v>69.3147180559945</v>
      </c>
      <c r="E12" s="13" t="n">
        <f aca="false">EXP(-D12)</f>
        <v>7.88860905221011E-031</v>
      </c>
    </row>
    <row r="14" customFormat="false" ht="15" hidden="false" customHeight="true" outlineLevel="0" collapsed="false">
      <c r="A14" s="15" t="s">
        <v>95</v>
      </c>
      <c r="B14" s="15"/>
      <c r="C14" s="15"/>
      <c r="D14" s="15"/>
      <c r="E14" s="15"/>
    </row>
    <row r="15" customFormat="false" ht="15" hidden="false" customHeight="false" outlineLevel="0" collapsed="false">
      <c r="A15" s="15"/>
      <c r="B15" s="15"/>
      <c r="C15" s="15"/>
      <c r="D15" s="15"/>
      <c r="E15" s="15"/>
    </row>
    <row r="16" customFormat="false" ht="15" hidden="false" customHeight="false" outlineLevel="0" collapsed="false">
      <c r="A16" s="15"/>
      <c r="B16" s="15"/>
      <c r="C16" s="15"/>
      <c r="D16" s="15"/>
      <c r="E16" s="15"/>
    </row>
  </sheetData>
  <mergeCells count="1">
    <mergeCell ref="A14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31.5" hidden="false" customHeight="true" outlineLevel="0" collapsed="false">
      <c r="A4" s="3" t="s">
        <v>98</v>
      </c>
      <c r="B4" s="3" t="s">
        <v>99</v>
      </c>
      <c r="C4" s="3" t="s">
        <v>100</v>
      </c>
      <c r="D4" s="3" t="s">
        <v>101</v>
      </c>
    </row>
    <row r="5" customFormat="false" ht="15" hidden="false" customHeight="false" outlineLevel="0" collapsed="false">
      <c r="A5" s="12" t="n">
        <v>5</v>
      </c>
      <c r="B5" s="13" t="n">
        <f aca="false">2^A5</f>
        <v>32</v>
      </c>
      <c r="C5" s="14" t="n">
        <f aca="false">1+A5+A5*(A5-1)/2</f>
        <v>16</v>
      </c>
      <c r="D5" s="13" t="n">
        <f aca="false">B5/C5</f>
        <v>2</v>
      </c>
    </row>
    <row r="6" customFormat="false" ht="15" hidden="false" customHeight="false" outlineLevel="0" collapsed="false">
      <c r="A6" s="12" t="n">
        <v>8</v>
      </c>
      <c r="B6" s="13" t="n">
        <f aca="false">2^A6</f>
        <v>256</v>
      </c>
      <c r="C6" s="14" t="n">
        <f aca="false">1+A6+A6*(A6-1)/2</f>
        <v>37</v>
      </c>
      <c r="D6" s="13" t="n">
        <f aca="false">B6/C6</f>
        <v>6.91891891891892</v>
      </c>
    </row>
    <row r="7" customFormat="false" ht="15" hidden="false" customHeight="false" outlineLevel="0" collapsed="false">
      <c r="A7" s="12" t="n">
        <v>12</v>
      </c>
      <c r="B7" s="13" t="n">
        <f aca="false">2^A7</f>
        <v>4096</v>
      </c>
      <c r="C7" s="14" t="n">
        <f aca="false">1+A7+A7*(A7-1)/2</f>
        <v>79</v>
      </c>
      <c r="D7" s="13" t="n">
        <f aca="false">B7/C7</f>
        <v>51.8481012658228</v>
      </c>
    </row>
    <row r="8" customFormat="false" ht="15" hidden="false" customHeight="false" outlineLevel="0" collapsed="false">
      <c r="A8" s="12" t="n">
        <v>16</v>
      </c>
      <c r="B8" s="13" t="n">
        <f aca="false">2^A8</f>
        <v>65536</v>
      </c>
      <c r="C8" s="14" t="n">
        <f aca="false">1+A8+A8*(A8-1)/2</f>
        <v>137</v>
      </c>
      <c r="D8" s="13" t="n">
        <f aca="false">B8/C8</f>
        <v>478.36496350365</v>
      </c>
    </row>
    <row r="9" customFormat="false" ht="15" hidden="false" customHeight="false" outlineLevel="0" collapsed="false">
      <c r="A9" s="12" t="n">
        <v>50</v>
      </c>
      <c r="B9" s="13" t="n">
        <f aca="false">2^A9</f>
        <v>1125899906842624</v>
      </c>
      <c r="C9" s="14" t="n">
        <f aca="false">1+A9+A9*(A9-1)/2</f>
        <v>1276</v>
      </c>
      <c r="D9" s="13" t="n">
        <f aca="false">B9/C9</f>
        <v>882366698152.527</v>
      </c>
    </row>
    <row r="10" customFormat="false" ht="15" hidden="false" customHeight="false" outlineLevel="0" collapsed="false">
      <c r="A10" s="12" t="n">
        <v>100</v>
      </c>
      <c r="B10" s="13" t="n">
        <f aca="false">2^A10</f>
        <v>1.26765060022823E+030</v>
      </c>
      <c r="C10" s="14" t="n">
        <f aca="false">1+A10+A10*(A10-1)/2</f>
        <v>5051</v>
      </c>
      <c r="D10" s="13" t="n">
        <f aca="false">B10/C10</f>
        <v>2.50970223763261E+026</v>
      </c>
    </row>
    <row r="12" customFormat="false" ht="15" hidden="false" customHeight="true" outlineLevel="0" collapsed="false">
      <c r="A12" s="15" t="s">
        <v>102</v>
      </c>
      <c r="B12" s="15"/>
      <c r="C12" s="15"/>
      <c r="D12" s="15"/>
    </row>
    <row r="13" customFormat="false" ht="15" hidden="false" customHeight="false" outlineLevel="0" collapsed="false">
      <c r="A13" s="15"/>
      <c r="B13" s="15"/>
      <c r="C13" s="15"/>
      <c r="D13" s="15"/>
    </row>
    <row r="14" customFormat="false" ht="15" hidden="false" customHeight="false" outlineLevel="0" collapsed="false">
      <c r="A14" s="15"/>
      <c r="B14" s="15"/>
      <c r="C14" s="15"/>
      <c r="D14" s="15"/>
    </row>
  </sheetData>
  <mergeCells count="1">
    <mergeCell ref="A12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1" t="s">
        <v>103</v>
      </c>
    </row>
    <row r="3" customFormat="false" ht="15" hidden="false" customHeight="false" outlineLevel="0" collapsed="false">
      <c r="A3" s="16" t="s">
        <v>104</v>
      </c>
    </row>
    <row r="4" customFormat="false" ht="31.5" hidden="false" customHeight="true" outlineLevel="0" collapsed="false">
      <c r="A4" s="3" t="s">
        <v>98</v>
      </c>
      <c r="B4" s="3" t="s">
        <v>105</v>
      </c>
      <c r="C4" s="3" t="s">
        <v>106</v>
      </c>
      <c r="D4" s="3" t="s">
        <v>107</v>
      </c>
    </row>
    <row r="5" customFormat="false" ht="15" hidden="false" customHeight="false" outlineLevel="0" collapsed="false">
      <c r="A5" s="12" t="n">
        <v>8</v>
      </c>
      <c r="B5" s="12" t="n">
        <v>150</v>
      </c>
      <c r="C5" s="12" t="n">
        <v>46</v>
      </c>
      <c r="D5" s="25" t="n">
        <f aca="false">C5/B5</f>
        <v>0.306666666666667</v>
      </c>
    </row>
    <row r="6" customFormat="false" ht="15" hidden="false" customHeight="false" outlineLevel="0" collapsed="false">
      <c r="A6" s="12" t="n">
        <v>12</v>
      </c>
      <c r="B6" s="12" t="n">
        <v>150</v>
      </c>
      <c r="C6" s="12" t="n">
        <v>18</v>
      </c>
      <c r="D6" s="25" t="n">
        <f aca="false">C6/B6</f>
        <v>0.12</v>
      </c>
    </row>
    <row r="7" customFormat="false" ht="15" hidden="false" customHeight="false" outlineLevel="0" collapsed="false">
      <c r="A7" s="12" t="n">
        <v>16</v>
      </c>
      <c r="B7" s="12" t="n">
        <v>150</v>
      </c>
      <c r="C7" s="12" t="n">
        <v>11</v>
      </c>
      <c r="D7" s="25" t="n">
        <f aca="false">C7/B7</f>
        <v>0.0733333333333333</v>
      </c>
    </row>
    <row r="8" customFormat="false" ht="23.85" hidden="false" customHeight="true" outlineLevel="0" collapsed="false">
      <c r="A8" s="15" t="s">
        <v>108</v>
      </c>
      <c r="B8" s="15"/>
      <c r="C8" s="15"/>
      <c r="D8" s="15"/>
      <c r="E8" s="15"/>
      <c r="F8" s="15"/>
    </row>
    <row r="10" customFormat="false" ht="15" hidden="false" customHeight="false" outlineLevel="0" collapsed="false">
      <c r="A10" s="16" t="s">
        <v>109</v>
      </c>
    </row>
    <row r="11" customFormat="false" ht="31.5" hidden="false" customHeight="true" outlineLevel="0" collapsed="false">
      <c r="A11" s="3" t="s">
        <v>98</v>
      </c>
      <c r="B11" s="3" t="s">
        <v>110</v>
      </c>
      <c r="C11" s="3" t="s">
        <v>111</v>
      </c>
      <c r="D11" s="3" t="s">
        <v>112</v>
      </c>
      <c r="E11" s="3" t="s">
        <v>113</v>
      </c>
      <c r="F11" s="3" t="s">
        <v>114</v>
      </c>
    </row>
    <row r="12" customFormat="false" ht="15" hidden="false" customHeight="false" outlineLevel="0" collapsed="false">
      <c r="A12" s="12" t="n">
        <v>20</v>
      </c>
      <c r="B12" s="12" t="n">
        <v>15</v>
      </c>
      <c r="C12" s="26" t="n">
        <f aca="false">LN(B12)</f>
        <v>2.70805020110221</v>
      </c>
      <c r="D12" s="26" t="n">
        <f aca="false">LN(A12)</f>
        <v>2.99573227355399</v>
      </c>
      <c r="E12" s="14" t="n">
        <f aca="false">A12^2</f>
        <v>400</v>
      </c>
      <c r="F12" s="14" t="n">
        <f aca="false">A12*(A12-1)/2</f>
        <v>190</v>
      </c>
    </row>
    <row r="13" customFormat="false" ht="15" hidden="false" customHeight="false" outlineLevel="0" collapsed="false">
      <c r="A13" s="12" t="n">
        <v>30</v>
      </c>
      <c r="B13" s="12" t="n">
        <v>44</v>
      </c>
      <c r="C13" s="26" t="n">
        <f aca="false">LN(B13)</f>
        <v>3.78418963391826</v>
      </c>
      <c r="D13" s="26" t="n">
        <f aca="false">LN(A13)</f>
        <v>3.40119738166216</v>
      </c>
      <c r="E13" s="14" t="n">
        <f aca="false">A13^2</f>
        <v>900</v>
      </c>
      <c r="F13" s="14" t="n">
        <f aca="false">A13*(A13-1)/2</f>
        <v>435</v>
      </c>
    </row>
    <row r="14" customFormat="false" ht="15" hidden="false" customHeight="false" outlineLevel="0" collapsed="false">
      <c r="A14" s="12" t="n">
        <v>40</v>
      </c>
      <c r="B14" s="12" t="n">
        <v>53</v>
      </c>
      <c r="C14" s="26" t="n">
        <f aca="false">LN(B14)</f>
        <v>3.97029191355212</v>
      </c>
      <c r="D14" s="26" t="n">
        <f aca="false">LN(A14)</f>
        <v>3.68887945411394</v>
      </c>
      <c r="E14" s="14" t="n">
        <f aca="false">A14^2</f>
        <v>1600</v>
      </c>
      <c r="F14" s="14" t="n">
        <f aca="false">A14*(A14-1)/2</f>
        <v>780</v>
      </c>
    </row>
    <row r="15" customFormat="false" ht="15" hidden="false" customHeight="false" outlineLevel="0" collapsed="false">
      <c r="A15" s="12" t="n">
        <v>50</v>
      </c>
      <c r="B15" s="12" t="n">
        <v>115</v>
      </c>
      <c r="C15" s="26" t="n">
        <f aca="false">LN(B15)</f>
        <v>4.74493212836325</v>
      </c>
      <c r="D15" s="26" t="n">
        <f aca="false">LN(A15)</f>
        <v>3.91202300542815</v>
      </c>
      <c r="E15" s="14" t="n">
        <f aca="false">A15^2</f>
        <v>2500</v>
      </c>
      <c r="F15" s="14" t="n">
        <f aca="false">A15*(A15-1)/2</f>
        <v>1225</v>
      </c>
    </row>
    <row r="16" customFormat="false" ht="15" hidden="false" customHeight="false" outlineLevel="0" collapsed="false">
      <c r="A16" s="12" t="n">
        <v>60</v>
      </c>
      <c r="B16" s="12" t="n">
        <v>325</v>
      </c>
      <c r="C16" s="26" t="n">
        <f aca="false">LN(B16)</f>
        <v>5.78382518232974</v>
      </c>
      <c r="D16" s="26" t="n">
        <f aca="false">LN(A16)</f>
        <v>4.0943445622221</v>
      </c>
      <c r="E16" s="14" t="n">
        <f aca="false">A16^2</f>
        <v>3600</v>
      </c>
      <c r="F16" s="14" t="n">
        <f aca="false">A16*(A16-1)/2</f>
        <v>1770</v>
      </c>
    </row>
    <row r="18" customFormat="false" ht="15" hidden="false" customHeight="false" outlineLevel="0" collapsed="false">
      <c r="A18" s="21" t="s">
        <v>115</v>
      </c>
      <c r="D18" s="26" t="n">
        <f aca="false">SLOPE(C12:C16,A12:A16)</f>
        <v>0.0711229245690004</v>
      </c>
    </row>
    <row r="19" customFormat="false" ht="15" hidden="false" customHeight="false" outlineLevel="0" collapsed="false">
      <c r="A19" s="21" t="s">
        <v>116</v>
      </c>
      <c r="D19" s="19" t="n">
        <f aca="false">EXP(10*D18)</f>
        <v>2.03649307099094</v>
      </c>
    </row>
    <row r="20" customFormat="false" ht="15" hidden="false" customHeight="false" outlineLevel="0" collapsed="false">
      <c r="A20" s="21" t="s">
        <v>117</v>
      </c>
      <c r="D20" s="19" t="n">
        <f aca="false">SLOPE(C12:C16,D12:D16)</f>
        <v>2.54708959646033</v>
      </c>
    </row>
    <row r="21" customFormat="false" ht="15" hidden="false" customHeight="true" outlineLevel="0" collapsed="false">
      <c r="A21" s="15" t="s">
        <v>118</v>
      </c>
      <c r="B21" s="15"/>
      <c r="C21" s="15"/>
      <c r="D21" s="15"/>
      <c r="E21" s="15"/>
      <c r="F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</row>
  </sheetData>
  <mergeCells count="2">
    <mergeCell ref="A8:F8"/>
    <mergeCell ref="A21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15" hidden="false" customHeight="false" outlineLevel="0" collapsed="false">
      <c r="A4" s="21" t="s">
        <v>121</v>
      </c>
      <c r="B4" s="22" t="n">
        <v>8.854187817E-012</v>
      </c>
      <c r="C4" s="23" t="s">
        <v>122</v>
      </c>
    </row>
    <row r="5" customFormat="false" ht="15" hidden="false" customHeight="false" outlineLevel="0" collapsed="false">
      <c r="A5" s="21" t="s">
        <v>123</v>
      </c>
      <c r="B5" s="27" t="n">
        <v>1000000</v>
      </c>
      <c r="C5" s="23" t="s">
        <v>124</v>
      </c>
    </row>
    <row r="6" customFormat="false" ht="15" hidden="false" customHeight="false" outlineLevel="0" collapsed="false">
      <c r="A6" s="21" t="s">
        <v>125</v>
      </c>
      <c r="B6" s="28" t="n">
        <v>299792458</v>
      </c>
      <c r="C6" s="23" t="s">
        <v>126</v>
      </c>
    </row>
    <row r="8" customFormat="false" ht="15" hidden="false" customHeight="false" outlineLevel="0" collapsed="false">
      <c r="A8" s="21" t="s">
        <v>127</v>
      </c>
      <c r="B8" s="26" t="n">
        <f aca="false">0.5*B4*B5^2</f>
        <v>4.4270939085</v>
      </c>
    </row>
    <row r="9" customFormat="false" ht="15" hidden="false" customHeight="false" outlineLevel="0" collapsed="false">
      <c r="A9" s="21" t="s">
        <v>128</v>
      </c>
      <c r="B9" s="13" t="n">
        <f aca="false">B8/B6^2</f>
        <v>4.92580628544716E-017</v>
      </c>
    </row>
    <row r="11" customFormat="false" ht="15" hidden="false" customHeight="true" outlineLevel="0" collapsed="false">
      <c r="A11" s="15" t="s">
        <v>129</v>
      </c>
      <c r="B11" s="15"/>
      <c r="C11" s="15"/>
    </row>
    <row r="12" customFormat="false" ht="15" hidden="false" customHeight="false" outlineLevel="0" collapsed="false">
      <c r="A12" s="15"/>
      <c r="B12" s="15"/>
      <c r="C12" s="15"/>
    </row>
    <row r="13" customFormat="false" ht="15" hidden="false" customHeight="false" outlineLevel="0" collapsed="false">
      <c r="A13" s="15"/>
      <c r="B13" s="15"/>
      <c r="C13" s="15"/>
    </row>
    <row r="14" customFormat="false" ht="15" hidden="false" customHeight="false" outlineLevel="0" collapsed="false">
      <c r="A14" s="15"/>
      <c r="B14" s="15"/>
      <c r="C14" s="15"/>
    </row>
  </sheetData>
  <mergeCells count="1">
    <mergeCell ref="A11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2026-10-03T18:32:47Z</dcterms:created>
  <dc:creator>openpyxl</dc:creator>
  <dc:description/>
  <dc:language>en-US</dc:language>
  <cp:lastModifiedBy/>
  <dcterms:modified xsi:type="dcterms:W3CDTF">2026-10-03T18:32:47Z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